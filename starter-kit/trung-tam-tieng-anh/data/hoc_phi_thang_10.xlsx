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arter-kit\trung-tam-tieng-anh\data\"/>
    </mc:Choice>
  </mc:AlternateContent>
  <bookViews>
    <workbookView xWindow="0" yWindow="0" windowWidth="5280" windowHeight="4956"/>
  </bookViews>
  <sheets>
    <sheet name="DangKy" sheetId="1" r:id="rId1"/>
    <sheet name="KhoaHoc" sheetId="2" r:id="rId2"/>
  </sheets>
  <definedNames>
    <definedName name="_xlnm._FilterDatabase" localSheetId="0" hidden="1">DangKy!$A$1:$G$16</definedName>
  </definedNames>
  <calcPr calcId="162913"/>
</workbook>
</file>

<file path=xl/calcChain.xml><?xml version="1.0" encoding="utf-8"?>
<calcChain xmlns="http://schemas.openxmlformats.org/spreadsheetml/2006/main">
  <c r="F2" i="1" l="1"/>
  <c r="G2" i="1" s="1"/>
  <c r="F3" i="1"/>
  <c r="F2" i="2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G3" i="1" l="1"/>
</calcChain>
</file>

<file path=xl/sharedStrings.xml><?xml version="1.0" encoding="utf-8"?>
<sst xmlns="http://schemas.openxmlformats.org/spreadsheetml/2006/main" count="72" uniqueCount="53">
  <si>
    <t>ma_dk</t>
  </si>
  <si>
    <t>ngay_dk</t>
  </si>
  <si>
    <t>ma_khoa</t>
  </si>
  <si>
    <t>so_thang</t>
  </si>
  <si>
    <t>ten_khoa</t>
  </si>
  <si>
    <t>hoc_phi</t>
  </si>
  <si>
    <t>tong_hoc_phi</t>
  </si>
  <si>
    <t>DK001</t>
  </si>
  <si>
    <t>2025-10-01</t>
  </si>
  <si>
    <t>TE01</t>
  </si>
  <si>
    <t>DK002</t>
  </si>
  <si>
    <t>2025-10-02</t>
  </si>
  <si>
    <t>IE02</t>
  </si>
  <si>
    <t>DK003</t>
  </si>
  <si>
    <t>2025-10-03</t>
  </si>
  <si>
    <t>PV01</t>
  </si>
  <si>
    <t>DK004</t>
  </si>
  <si>
    <t>2025-10-04</t>
  </si>
  <si>
    <t>GT02</t>
  </si>
  <si>
    <t>DK005</t>
  </si>
  <si>
    <t>2025-10-05</t>
  </si>
  <si>
    <t>DK006</t>
  </si>
  <si>
    <t>2025-10-06</t>
  </si>
  <si>
    <t>IE01</t>
  </si>
  <si>
    <t>DK007</t>
  </si>
  <si>
    <t>2025-10-07</t>
  </si>
  <si>
    <t>TO01</t>
  </si>
  <si>
    <t>DK008</t>
  </si>
  <si>
    <t>2025-10-08</t>
  </si>
  <si>
    <t>DK009</t>
  </si>
  <si>
    <t>2025-10-09</t>
  </si>
  <si>
    <t>DK010</t>
  </si>
  <si>
    <t>2025-10-10</t>
  </si>
  <si>
    <t>DK011</t>
  </si>
  <si>
    <t>2025-10-11</t>
  </si>
  <si>
    <t>DK012</t>
  </si>
  <si>
    <t>2025-10-12</t>
  </si>
  <si>
    <t>GT01</t>
  </si>
  <si>
    <t>DK013</t>
  </si>
  <si>
    <t>2025-10-13</t>
  </si>
  <si>
    <t>DK014</t>
  </si>
  <si>
    <t>2025-10-14</t>
  </si>
  <si>
    <t>DK015</t>
  </si>
  <si>
    <t>2025-10-15</t>
  </si>
  <si>
    <t>ma_can_tra</t>
  </si>
  <si>
    <t>hoc_phi_tra_cuu</t>
  </si>
  <si>
    <t>Giao tiep co ban</t>
  </si>
  <si>
    <t>Giao tiep nang cao</t>
  </si>
  <si>
    <t>IELTS 5.0</t>
  </si>
  <si>
    <t>IELTS 6.5</t>
  </si>
  <si>
    <t>TOEIC 550</t>
  </si>
  <si>
    <t>Tieng Anh thieu nhi</t>
  </si>
  <si>
    <t>Luyen phong 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</si>
</sst>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rgb="FF000000"/>
      <name val="Consolas"/>
      <family val="3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6"/>
  <sheetViews>
    <sheetView tabSelected="1" workbookViewId="0">
      <selection activeCell="H16" sqref="H16"/>
    </sheetView>
  </sheetViews>
  <sheetFormatPr defaultRowHeight="14.4" x14ac:dyDescent="0.3"/>
  <cols>
    <col min="1" max="7" width="16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hidden="1" x14ac:dyDescent="0.3">
      <c r="A2" t="s">
        <v>7</v>
      </c>
      <c r="B2" t="s">
        <v>8</v>
      </c>
      <c r="C2" t="s">
        <v>9</v>
      </c>
      <c r="D2">
        <v>3</v>
      </c>
      <c r="E2" t="str">
        <f>VLOOKUP(C2, KhoaHoc!$A$1:$C$8, 2, 0)</f>
        <v>Tieng Anh thieu nhi</v>
      </c>
      <c r="F2">
        <f>VLOOKUP(C2, KhoaHoc!$A$1:$C$8, 3, 0)</f>
        <v>900000</v>
      </c>
      <c r="G2" s="1">
        <f>D2 * F2</f>
        <v>2700000</v>
      </c>
    </row>
    <row r="3" spans="1:7" ht="15.6" hidden="1" x14ac:dyDescent="0.3">
      <c r="A3" t="s">
        <v>10</v>
      </c>
      <c r="B3" t="s">
        <v>11</v>
      </c>
      <c r="C3" t="s">
        <v>12</v>
      </c>
      <c r="D3">
        <v>2</v>
      </c>
      <c r="E3" t="str">
        <f>VLOOKUP(C3, KhoaHoc!$A$1:$C$8, 2, 0)</f>
        <v>IELTS 6.5</v>
      </c>
      <c r="F3">
        <f>VLOOKUP(C3, KhoaHoc!$A$1:$C$8, 3, 0)</f>
        <v>2500000</v>
      </c>
      <c r="G3" s="1">
        <f>D3 * F3</f>
        <v>5000000</v>
      </c>
    </row>
    <row r="4" spans="1:7" ht="15.6" x14ac:dyDescent="0.3">
      <c r="A4" t="s">
        <v>13</v>
      </c>
      <c r="B4" t="s">
        <v>14</v>
      </c>
      <c r="C4" t="s">
        <v>15</v>
      </c>
      <c r="D4">
        <v>3</v>
      </c>
      <c r="E4" t="str">
        <f>VLOOKUP(C4, KhoaHoc!$A$1:$C$8, 2, 0)</f>
        <v>Luyen phong van</v>
      </c>
      <c r="F4">
        <f>VLOOKUP(C4, KhoaHoc!$A$1:$C$8, 3, 0)</f>
        <v>3000000</v>
      </c>
      <c r="G4" s="1">
        <f t="shared" ref="G3:G16" si="0">D4 * F4</f>
        <v>9000000</v>
      </c>
    </row>
    <row r="5" spans="1:7" ht="15.6" hidden="1" x14ac:dyDescent="0.3">
      <c r="A5" t="s">
        <v>16</v>
      </c>
      <c r="B5" t="s">
        <v>17</v>
      </c>
      <c r="C5" t="s">
        <v>18</v>
      </c>
      <c r="D5">
        <v>1</v>
      </c>
      <c r="E5" t="str">
        <f>VLOOKUP(C5, KhoaHoc!$A$1:$C$8, 2, 0)</f>
        <v>Giao tiep nang cao</v>
      </c>
      <c r="F5">
        <f>VLOOKUP(C5, KhoaHoc!$A$1:$C$8, 3, 0)</f>
        <v>1500000</v>
      </c>
      <c r="G5" s="1">
        <f t="shared" si="0"/>
        <v>1500000</v>
      </c>
    </row>
    <row r="6" spans="1:7" ht="15.6" x14ac:dyDescent="0.3">
      <c r="A6" t="s">
        <v>19</v>
      </c>
      <c r="B6" t="s">
        <v>20</v>
      </c>
      <c r="C6" t="s">
        <v>18</v>
      </c>
      <c r="D6">
        <v>4</v>
      </c>
      <c r="E6" t="str">
        <f>VLOOKUP(C6, KhoaHoc!$A$1:$C$8, 2, 0)</f>
        <v>Giao tiep nang cao</v>
      </c>
      <c r="F6">
        <f>VLOOKUP(C6, KhoaHoc!$A$1:$C$8, 3, 0)</f>
        <v>1500000</v>
      </c>
      <c r="G6" s="1">
        <f t="shared" si="0"/>
        <v>6000000</v>
      </c>
    </row>
    <row r="7" spans="1:7" ht="15.6" x14ac:dyDescent="0.3">
      <c r="A7" t="s">
        <v>21</v>
      </c>
      <c r="B7" t="s">
        <v>22</v>
      </c>
      <c r="C7" t="s">
        <v>23</v>
      </c>
      <c r="D7">
        <v>4</v>
      </c>
      <c r="E7" t="str">
        <f>VLOOKUP(C7, KhoaHoc!$A$1:$C$8, 2, 0)</f>
        <v>IELTS 5.0</v>
      </c>
      <c r="F7">
        <f>VLOOKUP(C7, KhoaHoc!$A$1:$C$8, 3, 0)</f>
        <v>2000000</v>
      </c>
      <c r="G7" s="1">
        <f t="shared" si="0"/>
        <v>8000000</v>
      </c>
    </row>
    <row r="8" spans="1:7" ht="15.6" x14ac:dyDescent="0.3">
      <c r="A8" t="s">
        <v>24</v>
      </c>
      <c r="B8" t="s">
        <v>25</v>
      </c>
      <c r="C8" t="s">
        <v>26</v>
      </c>
      <c r="D8">
        <v>4</v>
      </c>
      <c r="E8" t="str">
        <f>VLOOKUP(C8, KhoaHoc!$A$1:$C$8, 2, 0)</f>
        <v>TOEIC 550</v>
      </c>
      <c r="F8">
        <f>VLOOKUP(C8, KhoaHoc!$A$1:$C$8, 3, 0)</f>
        <v>1800000</v>
      </c>
      <c r="G8" s="1">
        <f t="shared" si="0"/>
        <v>7200000</v>
      </c>
    </row>
    <row r="9" spans="1:7" ht="15.6" x14ac:dyDescent="0.3">
      <c r="A9" t="s">
        <v>27</v>
      </c>
      <c r="B9" t="s">
        <v>28</v>
      </c>
      <c r="C9" t="s">
        <v>15</v>
      </c>
      <c r="D9">
        <v>3</v>
      </c>
      <c r="E9" t="str">
        <f>VLOOKUP(C9, KhoaHoc!$A$1:$C$8, 2, 0)</f>
        <v>Luyen phong van</v>
      </c>
      <c r="F9">
        <f>VLOOKUP(C9, KhoaHoc!$A$1:$C$8, 3, 0)</f>
        <v>3000000</v>
      </c>
      <c r="G9" s="1">
        <f t="shared" si="0"/>
        <v>9000000</v>
      </c>
    </row>
    <row r="10" spans="1:7" ht="15.6" x14ac:dyDescent="0.3">
      <c r="A10" t="s">
        <v>29</v>
      </c>
      <c r="B10" t="s">
        <v>30</v>
      </c>
      <c r="C10" t="s">
        <v>12</v>
      </c>
      <c r="D10">
        <v>3</v>
      </c>
      <c r="E10" t="str">
        <f>VLOOKUP(C10, KhoaHoc!$A$1:$C$8, 2, 0)</f>
        <v>IELTS 6.5</v>
      </c>
      <c r="F10">
        <f>VLOOKUP(C10, KhoaHoc!$A$1:$C$8, 3, 0)</f>
        <v>2500000</v>
      </c>
      <c r="G10" s="1">
        <f t="shared" si="0"/>
        <v>7500000</v>
      </c>
    </row>
    <row r="11" spans="1:7" ht="15.6" hidden="1" x14ac:dyDescent="0.3">
      <c r="A11" t="s">
        <v>31</v>
      </c>
      <c r="B11" t="s">
        <v>32</v>
      </c>
      <c r="C11" t="s">
        <v>12</v>
      </c>
      <c r="D11">
        <v>1</v>
      </c>
      <c r="E11" t="str">
        <f>VLOOKUP(C11, KhoaHoc!$A$1:$C$8, 2, 0)</f>
        <v>IELTS 6.5</v>
      </c>
      <c r="F11">
        <f>VLOOKUP(C11, KhoaHoc!$A$1:$C$8, 3, 0)</f>
        <v>2500000</v>
      </c>
      <c r="G11" s="1">
        <f t="shared" si="0"/>
        <v>2500000</v>
      </c>
    </row>
    <row r="12" spans="1:7" ht="15.6" hidden="1" x14ac:dyDescent="0.3">
      <c r="A12" t="s">
        <v>33</v>
      </c>
      <c r="B12" t="s">
        <v>34</v>
      </c>
      <c r="C12" t="s">
        <v>9</v>
      </c>
      <c r="D12">
        <v>1</v>
      </c>
      <c r="E12" t="str">
        <f>VLOOKUP(C12, KhoaHoc!$A$1:$C$8, 2, 0)</f>
        <v>Tieng Anh thieu nhi</v>
      </c>
      <c r="F12">
        <f>VLOOKUP(C12, KhoaHoc!$A$1:$C$8, 3, 0)</f>
        <v>900000</v>
      </c>
      <c r="G12" s="1">
        <f t="shared" si="0"/>
        <v>900000</v>
      </c>
    </row>
    <row r="13" spans="1:7" ht="15.6" hidden="1" x14ac:dyDescent="0.3">
      <c r="A13" t="s">
        <v>35</v>
      </c>
      <c r="B13" t="s">
        <v>36</v>
      </c>
      <c r="C13" t="s">
        <v>37</v>
      </c>
      <c r="D13">
        <v>4</v>
      </c>
      <c r="E13" t="str">
        <f>VLOOKUP(C13, KhoaHoc!$A$1:$C$8, 2, 0)</f>
        <v>Giao tiep co ban</v>
      </c>
      <c r="F13">
        <f>VLOOKUP(C13, KhoaHoc!$A$1:$C$8, 3, 0)</f>
        <v>1200000</v>
      </c>
      <c r="G13" s="1">
        <f t="shared" si="0"/>
        <v>4800000</v>
      </c>
    </row>
    <row r="14" spans="1:7" ht="15.6" hidden="1" x14ac:dyDescent="0.3">
      <c r="A14" t="s">
        <v>38</v>
      </c>
      <c r="B14" t="s">
        <v>39</v>
      </c>
      <c r="C14" t="s">
        <v>26</v>
      </c>
      <c r="D14">
        <v>3</v>
      </c>
      <c r="E14" t="str">
        <f>VLOOKUP(C14, KhoaHoc!$A$1:$C$8, 2, 0)</f>
        <v>TOEIC 550</v>
      </c>
      <c r="F14">
        <f>VLOOKUP(C14, KhoaHoc!$A$1:$C$8, 3, 0)</f>
        <v>1800000</v>
      </c>
      <c r="G14" s="1">
        <f t="shared" si="0"/>
        <v>5400000</v>
      </c>
    </row>
    <row r="15" spans="1:7" ht="15.6" hidden="1" x14ac:dyDescent="0.3">
      <c r="A15" t="s">
        <v>40</v>
      </c>
      <c r="B15" t="s">
        <v>41</v>
      </c>
      <c r="C15" t="s">
        <v>12</v>
      </c>
      <c r="D15">
        <v>1</v>
      </c>
      <c r="E15" t="str">
        <f>VLOOKUP(C15, KhoaHoc!$A$1:$C$8, 2, 0)</f>
        <v>IELTS 6.5</v>
      </c>
      <c r="F15">
        <f>VLOOKUP(C15, KhoaHoc!$A$1:$C$8, 3, 0)</f>
        <v>2500000</v>
      </c>
      <c r="G15" s="1">
        <f t="shared" si="0"/>
        <v>2500000</v>
      </c>
    </row>
    <row r="16" spans="1:7" ht="15.6" x14ac:dyDescent="0.3">
      <c r="A16" t="s">
        <v>42</v>
      </c>
      <c r="B16" t="s">
        <v>43</v>
      </c>
      <c r="C16" t="s">
        <v>12</v>
      </c>
      <c r="D16">
        <v>4</v>
      </c>
      <c r="E16" t="str">
        <f>VLOOKUP(C16, KhoaHoc!$A$1:$C$8, 2, 0)</f>
        <v>IELTS 6.5</v>
      </c>
      <c r="F16">
        <f>VLOOKUP(C16, KhoaHoc!$A$1:$C$8, 3, 0)</f>
        <v>2500000</v>
      </c>
      <c r="G16" s="1">
        <f t="shared" si="0"/>
        <v>10000000</v>
      </c>
    </row>
  </sheetData>
  <autoFilter ref="A1:G16">
    <filterColumn colId="6">
      <customFilters>
        <customFilter operator="greaterThanOrEqual" val="6000000"/>
      </customFilters>
    </filterColumn>
  </autoFilter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E3" sqref="E3"/>
    </sheetView>
  </sheetViews>
  <sheetFormatPr defaultRowHeight="14.4" x14ac:dyDescent="0.3"/>
  <cols>
    <col min="1" max="7" width="16" customWidth="1"/>
  </cols>
  <sheetData>
    <row r="1" spans="1:6" x14ac:dyDescent="0.3">
      <c r="A1" t="s">
        <v>2</v>
      </c>
      <c r="B1" t="s">
        <v>4</v>
      </c>
      <c r="C1" t="s">
        <v>5</v>
      </c>
      <c r="E1" t="s">
        <v>44</v>
      </c>
      <c r="F1" t="s">
        <v>45</v>
      </c>
    </row>
    <row r="2" spans="1:6" x14ac:dyDescent="0.3">
      <c r="A2" t="s">
        <v>37</v>
      </c>
      <c r="B2" t="s">
        <v>46</v>
      </c>
      <c r="C2">
        <v>1200000</v>
      </c>
      <c r="E2" t="s">
        <v>12</v>
      </c>
      <c r="F2">
        <f>VLOOKUP(E2, DangKy!$C$1:$F$16, 4,)</f>
        <v>2500000</v>
      </c>
    </row>
    <row r="3" spans="1:6" x14ac:dyDescent="0.3">
      <c r="A3" t="s">
        <v>18</v>
      </c>
      <c r="B3" t="s">
        <v>47</v>
      </c>
      <c r="C3">
        <v>1500000</v>
      </c>
    </row>
    <row r="4" spans="1:6" x14ac:dyDescent="0.3">
      <c r="A4" t="s">
        <v>23</v>
      </c>
      <c r="B4" t="s">
        <v>48</v>
      </c>
      <c r="C4">
        <v>2000000</v>
      </c>
    </row>
    <row r="5" spans="1:6" x14ac:dyDescent="0.3">
      <c r="A5" t="s">
        <v>12</v>
      </c>
      <c r="B5" t="s">
        <v>49</v>
      </c>
      <c r="C5">
        <v>2500000</v>
      </c>
    </row>
    <row r="6" spans="1:6" x14ac:dyDescent="0.3">
      <c r="A6" t="s">
        <v>26</v>
      </c>
      <c r="B6" t="s">
        <v>50</v>
      </c>
      <c r="C6">
        <v>1800000</v>
      </c>
    </row>
    <row r="7" spans="1:6" x14ac:dyDescent="0.3">
      <c r="A7" t="s">
        <v>9</v>
      </c>
      <c r="B7" t="s">
        <v>51</v>
      </c>
      <c r="C7">
        <v>900000</v>
      </c>
    </row>
    <row r="8" spans="1:6" x14ac:dyDescent="0.3">
      <c r="A8" t="s">
        <v>15</v>
      </c>
      <c r="B8" t="s">
        <v>52</v>
      </c>
      <c r="C8">
        <v>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DangKy</vt:lpstr>
      <vt:lpstr>KhoaHoc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 TINH MINH QUANG</cp:lastModifiedBy>
  <dcterms:created xsi:type="dcterms:W3CDTF">2026-10-19T10:04:50Z</dcterms:created>
  <dcterms:modified xsi:type="dcterms:W3CDTF">2026-10-22T11:29:35Z</dcterms:modified>
</cp:coreProperties>
</file>